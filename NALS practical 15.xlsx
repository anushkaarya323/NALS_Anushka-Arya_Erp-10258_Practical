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d4f8b4729375a86/Desktop/"/>
    </mc:Choice>
  </mc:AlternateContent>
  <xr:revisionPtr revIDLastSave="0" documentId="14_{600C3794-1BE3-462E-8504-AE22A1054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s" sheetId="1" r:id="rId1"/>
    <sheet name="Budget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D6" i="2" s="1"/>
  <c r="C5" i="2"/>
  <c r="D5" i="2" s="1"/>
  <c r="C4" i="2"/>
  <c r="D4" i="2" s="1"/>
  <c r="C3" i="2"/>
  <c r="D3" i="2" s="1"/>
  <c r="C2" i="2"/>
  <c r="D2" i="2" s="1"/>
</calcChain>
</file>

<file path=xl/sharedStrings.xml><?xml version="1.0" encoding="utf-8"?>
<sst xmlns="http://schemas.openxmlformats.org/spreadsheetml/2006/main" count="94" uniqueCount="56">
  <si>
    <t>Date</t>
  </si>
  <si>
    <t>Category</t>
  </si>
  <si>
    <t>Expense Detail</t>
  </si>
  <si>
    <t>Amount</t>
  </si>
  <si>
    <t>Payment Method</t>
  </si>
  <si>
    <t>2025-01-01</t>
  </si>
  <si>
    <t>Food</t>
  </si>
  <si>
    <t>Groceries</t>
  </si>
  <si>
    <t>UPI</t>
  </si>
  <si>
    <t>2025-01-02</t>
  </si>
  <si>
    <t>Travel</t>
  </si>
  <si>
    <t>Bus Pass</t>
  </si>
  <si>
    <t>Cash</t>
  </si>
  <si>
    <t>2025-01-03</t>
  </si>
  <si>
    <t>Shopping</t>
  </si>
  <si>
    <t>Clothes</t>
  </si>
  <si>
    <t>Card</t>
  </si>
  <si>
    <t>2025-01-04</t>
  </si>
  <si>
    <t>Fees</t>
  </si>
  <si>
    <t>Internet Bill</t>
  </si>
  <si>
    <t>2025-01-05</t>
  </si>
  <si>
    <t>Restaurant</t>
  </si>
  <si>
    <t>2025-01-06</t>
  </si>
  <si>
    <t>Other</t>
  </si>
  <si>
    <t>Movie</t>
  </si>
  <si>
    <t>2025-01-07</t>
  </si>
  <si>
    <t>Taxi</t>
  </si>
  <si>
    <t>2025-01-08</t>
  </si>
  <si>
    <t>Snacks</t>
  </si>
  <si>
    <t>2025-01-09</t>
  </si>
  <si>
    <t>Shoes</t>
  </si>
  <si>
    <t>2025-01-10</t>
  </si>
  <si>
    <t>Electricity Bill</t>
  </si>
  <si>
    <t>2025-01-11</t>
  </si>
  <si>
    <t>Vegetables</t>
  </si>
  <si>
    <t>2025-01-12</t>
  </si>
  <si>
    <t>Train Ticket</t>
  </si>
  <si>
    <t>2025-01-13</t>
  </si>
  <si>
    <t>Online Order</t>
  </si>
  <si>
    <t>2025-01-14</t>
  </si>
  <si>
    <t>Gift</t>
  </si>
  <si>
    <t>2025-01-15</t>
  </si>
  <si>
    <t>Lunch</t>
  </si>
  <si>
    <t>2025-01-16</t>
  </si>
  <si>
    <t>Mobile Recharge</t>
  </si>
  <si>
    <t>2025-01-17</t>
  </si>
  <si>
    <t>Fuel</t>
  </si>
  <si>
    <t>2025-01-18</t>
  </si>
  <si>
    <t>Accessories</t>
  </si>
  <si>
    <t>2025-01-19</t>
  </si>
  <si>
    <t>Dinner</t>
  </si>
  <si>
    <t>2025-01-20</t>
  </si>
  <si>
    <t>Subscription</t>
  </si>
  <si>
    <t>Budget</t>
  </si>
  <si>
    <t>Actual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</si>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</sst>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Category-wise Spending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Budget!$C$1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Fees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Budget!$C$2:$C$6</c:f>
              <c:numCache>
                <c:formatCode>General</c:formatCode>
                <c:ptCount val="5"/>
                <c:pt idx="0">
                  <c:v>6750</c:v>
                </c:pt>
                <c:pt idx="1">
                  <c:v>5600</c:v>
                </c:pt>
                <c:pt idx="2">
                  <c:v>3500</c:v>
                </c:pt>
                <c:pt idx="3">
                  <c:v>10000</c:v>
                </c:pt>
                <c:pt idx="4">
                  <c:v>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B-494C-A1D9-169637427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Budget vs Actual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Budget!$B$1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Fees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Budget!$B$2:$B$6</c:f>
              <c:numCache>
                <c:formatCode>General</c:formatCode>
                <c:ptCount val="5"/>
                <c:pt idx="0">
                  <c:v>8000</c:v>
                </c:pt>
                <c:pt idx="1">
                  <c:v>5000</c:v>
                </c:pt>
                <c:pt idx="2">
                  <c:v>4000</c:v>
                </c:pt>
                <c:pt idx="3">
                  <c:v>7000</c:v>
                </c:pt>
                <c:pt idx="4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D-41DA-B0FF-49F1C7CCDBA4}"/>
            </c:ext>
          </c:extLst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Fees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Budget!$C$2:$C$6</c:f>
              <c:numCache>
                <c:formatCode>General</c:formatCode>
                <c:ptCount val="5"/>
                <c:pt idx="0">
                  <c:v>6750</c:v>
                </c:pt>
                <c:pt idx="1">
                  <c:v>5600</c:v>
                </c:pt>
                <c:pt idx="2">
                  <c:v>3500</c:v>
                </c:pt>
                <c:pt idx="3">
                  <c:v>10000</c:v>
                </c:pt>
                <c:pt idx="4">
                  <c:v>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BD-41DA-B0FF-49F1C7CCD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1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1500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800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s="1">
        <v>3200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>
        <v>1200</v>
      </c>
      <c r="E5" t="s">
        <v>8</v>
      </c>
    </row>
    <row r="6" spans="1:5" x14ac:dyDescent="0.3">
      <c r="A6" t="s">
        <v>20</v>
      </c>
      <c r="B6" t="s">
        <v>6</v>
      </c>
      <c r="C6" t="s">
        <v>21</v>
      </c>
      <c r="D6" s="1">
        <v>2200</v>
      </c>
      <c r="E6" t="s">
        <v>16</v>
      </c>
    </row>
    <row r="7" spans="1:5" x14ac:dyDescent="0.3">
      <c r="A7" t="s">
        <v>22</v>
      </c>
      <c r="B7" t="s">
        <v>23</v>
      </c>
      <c r="C7" t="s">
        <v>24</v>
      </c>
      <c r="D7">
        <v>600</v>
      </c>
      <c r="E7" t="s">
        <v>12</v>
      </c>
    </row>
    <row r="8" spans="1:5" x14ac:dyDescent="0.3">
      <c r="A8" t="s">
        <v>25</v>
      </c>
      <c r="B8" t="s">
        <v>10</v>
      </c>
      <c r="C8" t="s">
        <v>26</v>
      </c>
      <c r="D8">
        <v>900</v>
      </c>
      <c r="E8" t="s">
        <v>8</v>
      </c>
    </row>
    <row r="9" spans="1:5" x14ac:dyDescent="0.3">
      <c r="A9" t="s">
        <v>27</v>
      </c>
      <c r="B9" t="s">
        <v>6</v>
      </c>
      <c r="C9" t="s">
        <v>28</v>
      </c>
      <c r="D9">
        <v>300</v>
      </c>
      <c r="E9" t="s">
        <v>12</v>
      </c>
    </row>
    <row r="10" spans="1:5" x14ac:dyDescent="0.3">
      <c r="A10" t="s">
        <v>29</v>
      </c>
      <c r="B10" t="s">
        <v>14</v>
      </c>
      <c r="C10" t="s">
        <v>30</v>
      </c>
      <c r="D10" s="1">
        <v>2800</v>
      </c>
      <c r="E10" t="s">
        <v>16</v>
      </c>
    </row>
    <row r="11" spans="1:5" x14ac:dyDescent="0.3">
      <c r="A11" t="s">
        <v>31</v>
      </c>
      <c r="B11" t="s">
        <v>18</v>
      </c>
      <c r="C11" t="s">
        <v>32</v>
      </c>
      <c r="D11">
        <v>1800</v>
      </c>
      <c r="E11" t="s">
        <v>8</v>
      </c>
    </row>
    <row r="12" spans="1:5" x14ac:dyDescent="0.3">
      <c r="A12" t="s">
        <v>33</v>
      </c>
      <c r="B12" t="s">
        <v>6</v>
      </c>
      <c r="C12" t="s">
        <v>34</v>
      </c>
      <c r="D12">
        <v>700</v>
      </c>
      <c r="E12" t="s">
        <v>12</v>
      </c>
    </row>
    <row r="13" spans="1:5" x14ac:dyDescent="0.3">
      <c r="A13" t="s">
        <v>35</v>
      </c>
      <c r="B13" t="s">
        <v>10</v>
      </c>
      <c r="C13" t="s">
        <v>36</v>
      </c>
      <c r="D13">
        <v>1500</v>
      </c>
      <c r="E13" t="s">
        <v>16</v>
      </c>
    </row>
    <row r="14" spans="1:5" x14ac:dyDescent="0.3">
      <c r="A14" t="s">
        <v>37</v>
      </c>
      <c r="B14" t="s">
        <v>14</v>
      </c>
      <c r="C14" t="s">
        <v>38</v>
      </c>
      <c r="D14" s="1">
        <v>2100</v>
      </c>
      <c r="E14" t="s">
        <v>8</v>
      </c>
    </row>
    <row r="15" spans="1:5" x14ac:dyDescent="0.3">
      <c r="A15" t="s">
        <v>39</v>
      </c>
      <c r="B15" t="s">
        <v>23</v>
      </c>
      <c r="C15" t="s">
        <v>40</v>
      </c>
      <c r="D15">
        <v>1300</v>
      </c>
      <c r="E15" t="s">
        <v>12</v>
      </c>
    </row>
    <row r="16" spans="1:5" x14ac:dyDescent="0.3">
      <c r="A16" t="s">
        <v>41</v>
      </c>
      <c r="B16" t="s">
        <v>6</v>
      </c>
      <c r="C16" t="s">
        <v>42</v>
      </c>
      <c r="D16">
        <v>450</v>
      </c>
      <c r="E16" t="s">
        <v>12</v>
      </c>
    </row>
    <row r="17" spans="1:5" x14ac:dyDescent="0.3">
      <c r="A17" t="s">
        <v>43</v>
      </c>
      <c r="B17" t="s">
        <v>18</v>
      </c>
      <c r="C17" t="s">
        <v>44</v>
      </c>
      <c r="D17">
        <v>500</v>
      </c>
      <c r="E17" t="s">
        <v>8</v>
      </c>
    </row>
    <row r="18" spans="1:5" x14ac:dyDescent="0.3">
      <c r="A18" t="s">
        <v>45</v>
      </c>
      <c r="B18" t="s">
        <v>10</v>
      </c>
      <c r="C18" t="s">
        <v>46</v>
      </c>
      <c r="D18" s="1">
        <v>2400</v>
      </c>
      <c r="E18" t="s">
        <v>16</v>
      </c>
    </row>
    <row r="19" spans="1:5" x14ac:dyDescent="0.3">
      <c r="A19" t="s">
        <v>47</v>
      </c>
      <c r="B19" t="s">
        <v>14</v>
      </c>
      <c r="C19" t="s">
        <v>48</v>
      </c>
      <c r="D19">
        <v>1900</v>
      </c>
      <c r="E19" t="s">
        <v>8</v>
      </c>
    </row>
    <row r="20" spans="1:5" x14ac:dyDescent="0.3">
      <c r="A20" t="s">
        <v>49</v>
      </c>
      <c r="B20" t="s">
        <v>6</v>
      </c>
      <c r="C20" t="s">
        <v>50</v>
      </c>
      <c r="D20">
        <v>1600</v>
      </c>
      <c r="E20" t="s">
        <v>16</v>
      </c>
    </row>
    <row r="21" spans="1:5" x14ac:dyDescent="0.3">
      <c r="A21" t="s">
        <v>51</v>
      </c>
      <c r="B21" t="s">
        <v>23</v>
      </c>
      <c r="C21" t="s">
        <v>52</v>
      </c>
      <c r="D21">
        <v>999</v>
      </c>
      <c r="E21" t="s">
        <v>16</v>
      </c>
    </row>
  </sheetData>
  <dataValidations count="1">
    <dataValidation type="list" allowBlank="1" sqref="B2:B21" xr:uid="{00000000-0002-0000-0000-000000000000}">
      <formula1>"Food,Travel,Fees,Shopping,Other"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53</v>
      </c>
      <c r="C1" t="s">
        <v>54</v>
      </c>
      <c r="D1" t="s">
        <v>55</v>
      </c>
    </row>
    <row r="2" spans="1:4" x14ac:dyDescent="0.3">
      <c r="A2" t="s">
        <v>6</v>
      </c>
      <c r="B2">
        <v>8000</v>
      </c>
      <c r="C2">
        <f>SUMIF(Expenses!B:B, A2, Expenses!D:D)</f>
        <v>6750</v>
      </c>
      <c r="D2">
        <f>B2-C2</f>
        <v>1250</v>
      </c>
    </row>
    <row r="3" spans="1:4" x14ac:dyDescent="0.3">
      <c r="A3" t="s">
        <v>10</v>
      </c>
      <c r="B3">
        <v>5000</v>
      </c>
      <c r="C3">
        <f>SUMIF(Expenses!B:B, A3, Expenses!D:D)</f>
        <v>5600</v>
      </c>
      <c r="D3">
        <f>B3-C3</f>
        <v>-600</v>
      </c>
    </row>
    <row r="4" spans="1:4" x14ac:dyDescent="0.3">
      <c r="A4" t="s">
        <v>18</v>
      </c>
      <c r="B4">
        <v>4000</v>
      </c>
      <c r="C4">
        <f>SUMIF(Expenses!B:B, A4, Expenses!D:D)</f>
        <v>3500</v>
      </c>
      <c r="D4">
        <f>B4-C4</f>
        <v>500</v>
      </c>
    </row>
    <row r="5" spans="1:4" x14ac:dyDescent="0.3">
      <c r="A5" t="s">
        <v>14</v>
      </c>
      <c r="B5">
        <v>7000</v>
      </c>
      <c r="C5">
        <f>SUMIF(Expenses!B:B, A5, Expenses!D:D)</f>
        <v>10000</v>
      </c>
      <c r="D5">
        <f>B5-C5</f>
        <v>-3000</v>
      </c>
    </row>
    <row r="6" spans="1:4" x14ac:dyDescent="0.3">
      <c r="A6" t="s">
        <v>23</v>
      </c>
      <c r="B6">
        <v>3000</v>
      </c>
      <c r="C6">
        <f>SUMIF(Expenses!B:B, A6, Expenses!D:D)</f>
        <v>2899</v>
      </c>
      <c r="D6">
        <f>B6-C6</f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Budget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Anushka Arya</cp:lastModifiedBy>
  <dcterms:created xsi:type="dcterms:W3CDTF">2026-01-05T04:05:09Z</dcterms:created>
  <dcterms:modified xsi:type="dcterms:W3CDTF">2026-01-05T04:14:32Z</dcterms:modified>
</cp:coreProperties>
</file>